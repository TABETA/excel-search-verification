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計算" sheetId="1" r:id="rId1"/>
  </sheets>
  <calcPr calcId="124519" fullCalcOnLoad="1"/>
</workbook>
</file>

<file path=xl/sharedStrings.xml><?xml version="1.0" encoding="utf-8"?>
<sst xmlns="http://schemas.openxmlformats.org/spreadsheetml/2006/main" count="70" uniqueCount="49">
  <si>
    <t>案件No</t>
  </si>
  <si>
    <t>顧客</t>
  </si>
  <si>
    <t>品名</t>
  </si>
  <si>
    <t>納期</t>
  </si>
  <si>
    <t>状態</t>
  </si>
  <si>
    <t>案0001</t>
  </si>
  <si>
    <t>D電機</t>
  </si>
  <si>
    <t>ハウジング</t>
  </si>
  <si>
    <t>2026/11/05</t>
  </si>
  <si>
    <t>仕掛</t>
  </si>
  <si>
    <t>案0002</t>
  </si>
  <si>
    <t>C製作所</t>
  </si>
  <si>
    <t>ベアリング</t>
  </si>
  <si>
    <t>2026/12/04</t>
  </si>
  <si>
    <t>差戻し</t>
  </si>
  <si>
    <t>案0003</t>
  </si>
  <si>
    <t>Oリング</t>
  </si>
  <si>
    <t>2026/03/19</t>
  </si>
  <si>
    <t>保留</t>
  </si>
  <si>
    <t>案0004</t>
  </si>
  <si>
    <t>B工業</t>
  </si>
  <si>
    <t>ケーブル</t>
  </si>
  <si>
    <t>2026/12/16</t>
  </si>
  <si>
    <t>案0005</t>
  </si>
  <si>
    <t>ヒンジ</t>
  </si>
  <si>
    <t>2026/07/24</t>
  </si>
  <si>
    <t>完了</t>
  </si>
  <si>
    <t>案0006</t>
  </si>
  <si>
    <t>シャフト</t>
  </si>
  <si>
    <t>2026/11/22</t>
  </si>
  <si>
    <t>案0007</t>
  </si>
  <si>
    <t>A社</t>
  </si>
  <si>
    <t>フランジ</t>
  </si>
  <si>
    <t>2026/04/19</t>
  </si>
  <si>
    <t>案0008</t>
  </si>
  <si>
    <t>カバー</t>
  </si>
  <si>
    <t>2026/05/16</t>
  </si>
  <si>
    <t>案0009</t>
  </si>
  <si>
    <t>ナットM8</t>
  </si>
  <si>
    <t>2026/08/06</t>
  </si>
  <si>
    <t>案0010</t>
  </si>
  <si>
    <t>センサ台座</t>
  </si>
  <si>
    <t>2026/11/11</t>
  </si>
  <si>
    <t>案0011</t>
  </si>
  <si>
    <t>2026/01/04</t>
  </si>
  <si>
    <t>案0012</t>
  </si>
  <si>
    <t>2026/08/19</t>
  </si>
  <si>
    <t>案0013</t>
  </si>
  <si>
    <t>2026/06/13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</si>
</sst>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>
      <c r="A6" t="s">
        <v>23</v>
      </c>
      <c r="B6" t="s">
        <v>11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20</v>
      </c>
      <c r="C7" t="s">
        <v>28</v>
      </c>
      <c r="D7" t="s">
        <v>29</v>
      </c>
      <c r="E7" t="s">
        <v>14</v>
      </c>
    </row>
    <row r="8" spans="1:5">
      <c r="A8" t="s">
        <v>30</v>
      </c>
      <c r="B8" t="s">
        <v>31</v>
      </c>
      <c r="C8" t="s">
        <v>32</v>
      </c>
      <c r="D8" t="s">
        <v>33</v>
      </c>
      <c r="E8" t="s">
        <v>14</v>
      </c>
    </row>
    <row r="9" spans="1:5">
      <c r="A9" t="s">
        <v>34</v>
      </c>
      <c r="B9" t="s">
        <v>20</v>
      </c>
      <c r="C9" t="s">
        <v>35</v>
      </c>
      <c r="D9" t="s">
        <v>36</v>
      </c>
      <c r="E9" t="s">
        <v>14</v>
      </c>
    </row>
    <row r="10" spans="1:5">
      <c r="A10" t="s">
        <v>37</v>
      </c>
      <c r="B10" t="s">
        <v>11</v>
      </c>
      <c r="C10" t="s">
        <v>38</v>
      </c>
      <c r="D10" t="s">
        <v>39</v>
      </c>
      <c r="E10" t="s">
        <v>9</v>
      </c>
    </row>
    <row r="11" spans="1:5">
      <c r="A11" t="s">
        <v>40</v>
      </c>
      <c r="B11" t="s">
        <v>31</v>
      </c>
      <c r="C11" t="s">
        <v>41</v>
      </c>
      <c r="D11" t="s">
        <v>42</v>
      </c>
      <c r="E11" t="s">
        <v>18</v>
      </c>
    </row>
    <row r="12" spans="1:5">
      <c r="A12" t="s">
        <v>43</v>
      </c>
      <c r="B12" t="s">
        <v>11</v>
      </c>
      <c r="C12" t="s">
        <v>24</v>
      </c>
      <c r="D12" t="s">
        <v>44</v>
      </c>
      <c r="E12" t="s">
        <v>9</v>
      </c>
    </row>
    <row r="13" spans="1:5">
      <c r="A13" t="s">
        <v>45</v>
      </c>
      <c r="B13" t="s">
        <v>6</v>
      </c>
      <c r="C13" t="s">
        <v>28</v>
      </c>
      <c r="D13" t="s">
        <v>46</v>
      </c>
      <c r="E13" t="s">
        <v>14</v>
      </c>
    </row>
    <row r="14" spans="1:5">
      <c r="A14" t="s">
        <v>47</v>
      </c>
      <c r="B14" t="s">
        <v>20</v>
      </c>
      <c r="C14" t="s">
        <v>7</v>
      </c>
      <c r="D14" t="s">
        <v>48</v>
      </c>
      <c r="E14" t="s">
        <v>26</v>
      </c>
    </row>
    <row r="16" spans="1:5">
      <c r="B16" t="str">
        <f>"ペリカン"&amp;"承認"</f>
        <v>ペリカン承認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計算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